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SIL\Doe\DRP\STE\Insreference.sil\La France et ses territoires\FST_2021\données xlsx\"/>
    </mc:Choice>
  </mc:AlternateContent>
  <bookViews>
    <workbookView xWindow="0" yWindow="0" windowWidth="16380" windowHeight="8190" tabRatio="500"/>
  </bookViews>
  <sheets>
    <sheet name="Figure 1" sheetId="1" r:id="rId1"/>
    <sheet name="Figure 2" sheetId="2" r:id="rId2"/>
    <sheet name="Figure 3" sheetId="4" r:id="rId3"/>
    <sheet name="Figure 4" sheetId="3" r:id="rId4"/>
  </sheets>
  <definedNames>
    <definedName name="_xlnm.Print_Area" localSheetId="0">'Figure 1'!$A$1:$E$17</definedName>
    <definedName name="_xlnm.Print_Area" localSheetId="1">'Figure 2'!$D$3:$K$44</definedName>
    <definedName name="_xlnm.Print_Area" localSheetId="2">'Figure 3'!#REF!</definedName>
    <definedName name="_xlnm.Print_Area" localSheetId="3">'Figure 4'!$A$19:$A$40</definedName>
  </definedNames>
  <calcPr calcId="162913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12" i="3" l="1"/>
  <c r="B12" i="3"/>
  <c r="D13" i="1"/>
  <c r="B13" i="1"/>
</calcChain>
</file>

<file path=xl/sharedStrings.xml><?xml version="1.0" encoding="utf-8"?>
<sst xmlns="http://schemas.openxmlformats.org/spreadsheetml/2006/main" count="259" uniqueCount="251">
  <si>
    <t>1. Répartition de la population française en 2017 selon la taille de l’unité urbaine</t>
  </si>
  <si>
    <t>Population</t>
  </si>
  <si>
    <t>Part 
(en %)</t>
  </si>
  <si>
    <t>Nombre d’unités urbaines</t>
  </si>
  <si>
    <t>Nombre de communes</t>
  </si>
  <si>
    <t>Agglomération de Paris</t>
  </si>
  <si>
    <t>200 000 à 1 999 999 habitants</t>
  </si>
  <si>
    <t>100 000 à 199 999 habitants</t>
  </si>
  <si>
    <t>50 000 à 99 999 habitants</t>
  </si>
  <si>
    <t>20 000 à 49 999 habitants</t>
  </si>
  <si>
    <t>10 000 à 19 999 habitants</t>
  </si>
  <si>
    <t>5 000 à 9 999 habitants</t>
  </si>
  <si>
    <t>2 000 à 4 999 habitants</t>
  </si>
  <si>
    <t>Hors unité urbaine</t>
  </si>
  <si>
    <t>///</t>
  </si>
  <si>
    <t>Ensemble</t>
  </si>
  <si>
    <t>/// : absence de résultat due à la nature des choses.</t>
  </si>
  <si>
    <t>Source : Insee, recensement de la population 2017, composition communale des unités urbaines 2020.</t>
  </si>
  <si>
    <t xml:space="preserve">2. Part de la population française en 2017 vivant dans une unité urbaine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</si>
  <si>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</si>
  <si>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</si>
  <si>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</si>
  <si>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</si>
  <si>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</si>
  <si>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</si>
  <si>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</si>
  <si>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</si>
  <si>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</si>
  <si>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</si>
  <si>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</si>
  <si>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</si>
  <si>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</si>
  <si>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</si>
  <si>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</si>
  <si>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</si>
  <si>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</si>
  <si>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</si>
  <si>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</si>
  <si>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</si>
  <si>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</si>
  <si>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</si>
  <si>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</si>
  <si>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</si>
  <si>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</si>
  <si>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</si>
  <si>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</si>
  <si>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</si>
  <si>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</si>
  <si>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</si>
  <si>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</si>
  <si>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</si>
  <si>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</si>
  <si>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</si>
  <si>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</si>
  <si>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</si>
  <si>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</si>
  <si>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</si>
  <si>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</si>
  <si>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</si>
  <si>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Lecture : en 2017, dans l’Ain, 67 % des habitants vivent dans une unité urbaine.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</si>
  <si>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</si>
  <si>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</si>
  <si>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</si>
  <si>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</si>
  <si>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</si>
  <si>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</si>
  <si>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</si>
  <si>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</si>
  <si>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</si>
  <si>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</si>
  <si>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</si>
  <si>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</si>
  <si>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</si>
  <si>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</si>
  <si>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</si>
  <si>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</si>
  <si>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</si>
  <si>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</si>
  <si>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</si>
  <si>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</si>
  <si>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</si>
  <si>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</si>
  <si>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</si>
  <si>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</si>
  <si>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</si>
  <si>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</si>
  <si>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</si>
  <si>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</si>
  <si>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</si>
  <si>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</si>
  <si>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</si>
  <si>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</si>
  <si>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</si>
  <si>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</si>
  <si>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</si>
  <si>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</si>
  <si>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</si>
  <si>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</si>
  <si>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</si>
  <si>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</si>
  <si>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</si>
  <si>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</si>
  <si>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</si>
  <si>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</si>
  <si>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</si>
  <si>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</si>
  <si>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</si>
  <si>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</si>
  <si>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</si>
  <si>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</si>
  <si>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</si>
  <si>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</si>
  <si>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</si>
  <si>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</si>
  <si>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</si>
  <si>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</si>
  <si>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</si>
  <si>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972</t>
  </si>
  <si>
    <t>973</t>
  </si>
  <si>
    <t>974</t>
  </si>
  <si>
    <t>976</t>
  </si>
  <si>
    <t>Unités urbaines de 2010</t>
  </si>
  <si>
    <t>Unités urbaines de 2020</t>
  </si>
  <si>
    <t>UU disparues</t>
  </si>
  <si>
    <t>UU apparues</t>
  </si>
  <si>
    <t>UU à périmètre communal identique</t>
  </si>
  <si>
    <t>UU absorbant une commune ou plus</t>
  </si>
  <si>
    <t>UU perdant une commune ou plus</t>
  </si>
  <si>
    <t>Scissions d’UU</t>
  </si>
  <si>
    <t>Fusions d’UU</t>
  </si>
  <si>
    <t>Changements complexes</t>
  </si>
  <si>
    <t>Lecture : 89 unités urbaines de 2010 fusionnent pour donner 43 unités urbaines de 2020.</t>
  </si>
  <si>
    <t>Source : Insee, composition communale des unités urbaines 2020.</t>
  </si>
  <si>
    <t>3. Part des jeunes adultes et des seniors dans la population française en 2017 selon la taille de l’unité urbaine</t>
  </si>
  <si>
    <t>en %</t>
  </si>
  <si>
    <t>de 18 à 29 ans</t>
  </si>
  <si>
    <t>60 ans ou plus</t>
  </si>
  <si>
    <t xml:space="preserve">2 000 à 4 999 habitants </t>
  </si>
  <si>
    <t xml:space="preserve">5 000 à 9 999 habitants </t>
  </si>
  <si>
    <t xml:space="preserve">10 000 à 19 999 habitants </t>
  </si>
  <si>
    <t xml:space="preserve">20 000 à 49 999 habitants </t>
  </si>
  <si>
    <t xml:space="preserve">50 000 à 99 999 habitants </t>
  </si>
  <si>
    <t xml:space="preserve">100 000 à 199 999 habitants </t>
  </si>
  <si>
    <t xml:space="preserve">200 000 à 1 999 999 habitants </t>
  </si>
  <si>
    <t xml:space="preserve">Lecture : 7 % de la population française vit dans les 1 991 communes qui composent les 1 335 unités urbaines de 2 000 à 4 999 habitants. </t>
  </si>
  <si>
    <t xml:space="preserve">Lecture : en 2017, 17 % des habitants de l’agglomération de Paris ont entre 18 et 29 ans. </t>
  </si>
  <si>
    <t>Champ : France hors Mayotte.</t>
  </si>
  <si>
    <t>Champ : France.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</si>
  <si>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</si>
  <si>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</si>
  <si>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</si>
  <si>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</si>
  <si>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</si>
  <si>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</si>
  <si>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</si>
  <si>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</si>
  <si>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</si>
  <si>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</si>
  <si>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</si>
  <si>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</si>
  <si>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</si>
  <si>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</si>
  <si>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</si>
  <si>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</si>
  <si>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</si>
  <si>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</si>
  <si>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</si>
  <si>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</si>
  <si>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</si>
  <si>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</si>
  <si>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</si>
  <si>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</si>
  <si>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</si>
  <si>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</si>
  <si>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</si>
  <si>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</si>
  <si>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Corse-du-Sud</t>
  </si>
  <si>
    <t>Haute-Corse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</si>
  <si>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</si>
  <si>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</si>
  <si>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</si>
  <si>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</si>
  <si>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</si>
  <si>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</si>
  <si>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</si>
  <si>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</si>
  <si>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</si>
  <si>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</si>
  <si>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</si>
  <si>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</si>
  <si>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</si>
  <si>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</si>
  <si>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</si>
  <si>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</si>
  <si>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</si>
  <si>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</si>
  <si>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</si>
  <si>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</si>
  <si>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</si>
  <si>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</si>
  <si>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</si>
  <si>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</si>
  <si>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</si>
  <si>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</si>
  <si>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</si>
  <si>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</si>
  <si>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</si>
  <si>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</si>
  <si>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</si>
  <si>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</si>
  <si>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</si>
  <si>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</si>
  <si>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</si>
  <si>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</si>
  <si>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</si>
  <si>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</si>
  <si>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</si>
  <si>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</si>
  <si>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</si>
  <si>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</si>
  <si>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</si>
  <si>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</si>
  <si>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</si>
  <si>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</si>
  <si>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</si>
  <si>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</si>
  <si>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</si>
  <si>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</si>
  <si>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</si>
  <si>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</si>
  <si>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</si>
  <si>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</si>
  <si>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</si>
  <si>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</si>
  <si>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</si>
  <si>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</si>
  <si>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</si>
  <si>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</si>
  <si>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</si>
  <si>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</si>
  <si>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</si>
  <si>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</si>
  <si>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</si>
  <si>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</si>
  <si>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</si>
  <si>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Martinique</t>
  </si>
  <si>
    <t>Guyane</t>
  </si>
  <si>
    <t>La Réunion</t>
  </si>
  <si>
    <t>Mayotte</t>
  </si>
  <si>
    <t>en %</t>
  </si>
  <si>
    <t xml:space="preserve">4. Passage des unités urbaines 2010 aux unités urbaines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</si>
</sst>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[$€-40C];[Red]\-#,##0.00\ [$€-40C]"/>
    <numFmt numFmtId="165" formatCode="0.0"/>
  </numFmts>
  <fonts count="11" x14ac:knownFonts="1">
    <font>
      <sz val="10"/>
      <name val="Arial"/>
    </font>
    <font>
      <b/>
      <i/>
      <u/>
      <sz val="10"/>
      <name val="Arial"/>
    </font>
    <font>
      <b/>
      <i/>
      <sz val="16"/>
      <name val="Arial"/>
    </font>
    <font>
      <b/>
      <sz val="10"/>
      <name val="Arial"/>
    </font>
    <font>
      <b/>
      <strike/>
      <sz val="10"/>
      <name val="Arial"/>
    </font>
    <font>
      <sz val="10"/>
      <color rgb="FF000000"/>
      <name val="Arial"/>
    </font>
    <font>
      <b/>
      <sz val="10"/>
      <color rgb="FFED1C24"/>
      <name val="Arial"/>
    </font>
    <font>
      <i/>
      <sz val="10"/>
      <color rgb="FF000000"/>
      <name val="Arial"/>
    </font>
    <font>
      <i/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Border="0" applyAlignment="0" applyProtection="0"/>
    <xf numFmtId="164" fontId="1" fillId="0" borderId="0" applyBorder="0" applyAlignment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</cellStyleXfs>
  <cellXfs count="60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Border="1" applyAlignment="1"/>
    <xf numFmtId="0" fontId="3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165" fontId="0" fillId="0" borderId="0" xfId="0" applyNumberFormat="1"/>
    <xf numFmtId="0" fontId="3" fillId="0" borderId="0" xfId="0" applyFont="1"/>
    <xf numFmtId="0" fontId="0" fillId="0" borderId="0" xfId="0"/>
    <xf numFmtId="0" fontId="5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0" fontId="0" fillId="0" borderId="0" xfId="0" applyFill="1"/>
    <xf numFmtId="0" fontId="0" fillId="0" borderId="0" xfId="0" applyFont="1" applyFill="1"/>
    <xf numFmtId="0" fontId="10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165" fontId="10" fillId="0" borderId="2" xfId="0" applyNumberFormat="1" applyFont="1" applyBorder="1"/>
    <xf numFmtId="165" fontId="10" fillId="0" borderId="3" xfId="0" applyNumberFormat="1" applyFont="1" applyBorder="1"/>
    <xf numFmtId="165" fontId="10" fillId="0" borderId="4" xfId="0" applyNumberFormat="1" applyFont="1" applyBorder="1"/>
    <xf numFmtId="0" fontId="0" fillId="0" borderId="5" xfId="0" applyBorder="1"/>
    <xf numFmtId="0" fontId="9" fillId="0" borderId="6" xfId="0" applyFont="1" applyBorder="1"/>
    <xf numFmtId="0" fontId="9" fillId="0" borderId="3" xfId="0" applyFont="1" applyBorder="1"/>
    <xf numFmtId="0" fontId="9" fillId="0" borderId="4" xfId="0" applyFon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49" fontId="0" fillId="0" borderId="7" xfId="0" applyNumberFormat="1" applyFont="1" applyBorder="1"/>
    <xf numFmtId="49" fontId="0" fillId="0" borderId="8" xfId="0" applyNumberFormat="1" applyFont="1" applyBorder="1"/>
    <xf numFmtId="0" fontId="0" fillId="0" borderId="8" xfId="0" applyFont="1" applyBorder="1"/>
    <xf numFmtId="49" fontId="0" fillId="0" borderId="9" xfId="0" applyNumberFormat="1" applyFont="1" applyBorder="1"/>
    <xf numFmtId="0" fontId="0" fillId="0" borderId="1" xfId="0" applyFont="1" applyBorder="1" applyAlignment="1">
      <alignment horizontal="center" wrapText="1"/>
    </xf>
    <xf numFmtId="0" fontId="0" fillId="0" borderId="7" xfId="0" applyFont="1" applyBorder="1"/>
    <xf numFmtId="0" fontId="3" fillId="0" borderId="9" xfId="0" applyFon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0" fontId="4" fillId="0" borderId="5" xfId="0" applyFont="1" applyBorder="1" applyAlignment="1">
      <alignment wrapText="1"/>
    </xf>
    <xf numFmtId="0" fontId="0" fillId="0" borderId="12" xfId="0" applyFont="1" applyBorder="1"/>
    <xf numFmtId="0" fontId="0" fillId="0" borderId="10" xfId="0" applyFont="1" applyBorder="1"/>
    <xf numFmtId="0" fontId="3" fillId="0" borderId="11" xfId="0" applyFont="1" applyBorder="1" applyAlignment="1">
      <alignment wrapText="1"/>
    </xf>
    <xf numFmtId="0" fontId="0" fillId="0" borderId="7" xfId="0" applyFont="1" applyBorder="1" applyAlignment="1">
      <alignment horizontal="center" vertical="center" wrapText="1"/>
    </xf>
    <xf numFmtId="3" fontId="0" fillId="0" borderId="7" xfId="0" applyNumberFormat="1" applyBorder="1"/>
    <xf numFmtId="3" fontId="0" fillId="0" borderId="8" xfId="0" applyNumberFormat="1" applyBorder="1"/>
    <xf numFmtId="3" fontId="3" fillId="0" borderId="9" xfId="0" applyNumberFormat="1" applyFont="1" applyBorder="1"/>
    <xf numFmtId="165" fontId="3" fillId="0" borderId="9" xfId="0" applyNumberFormat="1" applyFont="1" applyBorder="1"/>
    <xf numFmtId="3" fontId="0" fillId="0" borderId="8" xfId="0" applyNumberFormat="1" applyFont="1" applyBorder="1" applyAlignment="1">
      <alignment horizontal="right"/>
    </xf>
    <xf numFmtId="0" fontId="3" fillId="0" borderId="0" xfId="0" applyFont="1" applyAlignment="1">
      <alignment vertical="center"/>
    </xf>
    <xf numFmtId="0" fontId="0" fillId="0" borderId="9" xfId="0" applyFont="1" applyBorder="1"/>
    <xf numFmtId="165" fontId="0" fillId="0" borderId="0" xfId="0" applyNumberFormat="1" applyAlignment="1">
      <alignment horizontal="right"/>
    </xf>
    <xf numFmtId="0" fontId="0" fillId="0" borderId="0" xfId="0" applyFont="1" applyBorder="1" applyAlignment="1">
      <alignment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5">
    <cellStyle name="En-tête" xfId="3"/>
    <cellStyle name="Normal" xfId="0" builtinId="0"/>
    <cellStyle name="Résultat" xfId="1"/>
    <cellStyle name="Résultat2" xfId="2"/>
    <cellStyle name="Titre1" xfId="4"/>
  </cellStyles>
  <dxfs count="0"/>
  <tableStyles count="0" defaultTableStyle="TableStyleMedium2" defaultPivotStyle="PivotStyleLight16"/>
  <colors>
    <indexedColors>
      <rgbColor rgb="FF000000"/>
      <rgbColor rgb="FFEEEEEE"/>
      <rgbColor rgb="FFED1C24"/>
      <rgbColor rgb="FF00FF00"/>
      <rgbColor rgb="FF0000FF"/>
      <rgbColor rgb="FFFFFF00"/>
      <rgbColor rgb="FFFF00FF"/>
      <rgbColor rgb="FF00FFFF"/>
      <rgbColor rgb="FFBA0033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199358</xdr:colOff>
      <xdr:row>4</xdr:row>
      <xdr:rowOff>147390</xdr:rowOff>
    </xdr:from>
    <xdr:to>
      <xdr:col>29</xdr:col>
      <xdr:colOff>690657</xdr:colOff>
      <xdr:row>50</xdr:row>
      <xdr:rowOff>120221</xdr:rowOff>
    </xdr:to>
    <xdr:pic>
      <xdr:nvPicPr>
        <xdr:cNvPr id="3" name="Image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14954040" y="843120"/>
          <a:ext cx="10287000" cy="79056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17"/>
  <sheetViews>
    <sheetView tabSelected="1" zoomScaleNormal="100" workbookViewId="0"/>
  </sheetViews>
  <sheetFormatPr baseColWidth="10" defaultColWidth="11.5703125" defaultRowHeight="12.75" x14ac:dyDescent="0.2"/>
  <cols>
    <col min="1" max="1" width="33.42578125" style="1" customWidth="1"/>
    <col min="2" max="2" width="13.5703125" customWidth="1"/>
    <col min="3" max="3" width="14.42578125" customWidth="1"/>
    <col min="4" max="4" width="16.85546875" customWidth="1"/>
  </cols>
  <sheetData>
    <row r="1" spans="1:64" ht="12.75" customHeight="1" x14ac:dyDescent="0.2">
      <c r="A1" s="2" t="s">
        <v>0</v>
      </c>
      <c r="B1" s="3"/>
      <c r="C1" s="3"/>
      <c r="D1" s="3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2.75" customHeight="1" x14ac:dyDescent="0.2">
      <c r="A2" s="3"/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25.5" customHeight="1" x14ac:dyDescent="0.2">
      <c r="A3" s="38"/>
      <c r="B3" s="42" t="s">
        <v>1</v>
      </c>
      <c r="C3" s="42" t="s">
        <v>2</v>
      </c>
      <c r="D3" s="42" t="s">
        <v>3</v>
      </c>
      <c r="E3" s="42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2">
      <c r="A4" s="39" t="s">
        <v>5</v>
      </c>
      <c r="B4" s="43">
        <v>10785092</v>
      </c>
      <c r="C4" s="25">
        <v>16.100000000000001</v>
      </c>
      <c r="D4" s="43">
        <v>1</v>
      </c>
      <c r="E4" s="43">
        <v>411</v>
      </c>
    </row>
    <row r="5" spans="1:64" x14ac:dyDescent="0.2">
      <c r="A5" s="40" t="s">
        <v>6</v>
      </c>
      <c r="B5" s="44">
        <v>16824170</v>
      </c>
      <c r="C5" s="26">
        <v>25.2</v>
      </c>
      <c r="D5" s="44">
        <v>35</v>
      </c>
      <c r="E5" s="44">
        <v>1325</v>
      </c>
    </row>
    <row r="6" spans="1:64" x14ac:dyDescent="0.2">
      <c r="A6" s="40" t="s">
        <v>7</v>
      </c>
      <c r="B6" s="44">
        <v>3819001</v>
      </c>
      <c r="C6" s="26">
        <v>5.7</v>
      </c>
      <c r="D6" s="44">
        <v>26</v>
      </c>
      <c r="E6" s="44">
        <v>333</v>
      </c>
    </row>
    <row r="7" spans="1:64" x14ac:dyDescent="0.2">
      <c r="A7" s="40" t="s">
        <v>8</v>
      </c>
      <c r="B7" s="44">
        <v>5052310</v>
      </c>
      <c r="C7" s="26">
        <v>7.6</v>
      </c>
      <c r="D7" s="44">
        <v>72</v>
      </c>
      <c r="E7" s="44">
        <v>641</v>
      </c>
    </row>
    <row r="8" spans="1:64" x14ac:dyDescent="0.2">
      <c r="A8" s="40" t="s">
        <v>9</v>
      </c>
      <c r="B8" s="44">
        <v>4358378</v>
      </c>
      <c r="C8" s="26">
        <v>6.5</v>
      </c>
      <c r="D8" s="44">
        <v>144</v>
      </c>
      <c r="E8" s="44">
        <v>813</v>
      </c>
    </row>
    <row r="9" spans="1:64" ht="15.75" customHeight="1" x14ac:dyDescent="0.2">
      <c r="A9" s="40" t="s">
        <v>10</v>
      </c>
      <c r="B9" s="44">
        <v>3368678</v>
      </c>
      <c r="C9" s="26">
        <v>5</v>
      </c>
      <c r="D9" s="44">
        <v>242</v>
      </c>
      <c r="E9" s="44">
        <v>798</v>
      </c>
    </row>
    <row r="10" spans="1:64" x14ac:dyDescent="0.2">
      <c r="A10" s="40" t="s">
        <v>11</v>
      </c>
      <c r="B10" s="44">
        <v>4225139</v>
      </c>
      <c r="C10" s="26">
        <v>6.3</v>
      </c>
      <c r="D10" s="44">
        <v>612</v>
      </c>
      <c r="E10" s="44">
        <v>1268</v>
      </c>
    </row>
    <row r="11" spans="1:64" x14ac:dyDescent="0.2">
      <c r="A11" s="40" t="s">
        <v>12</v>
      </c>
      <c r="B11" s="44">
        <v>4428918</v>
      </c>
      <c r="C11" s="26">
        <v>6.6</v>
      </c>
      <c r="D11" s="44">
        <v>1335</v>
      </c>
      <c r="E11" s="44">
        <v>1991</v>
      </c>
    </row>
    <row r="12" spans="1:64" x14ac:dyDescent="0.2">
      <c r="A12" s="40" t="s">
        <v>13</v>
      </c>
      <c r="B12" s="44">
        <v>13919171</v>
      </c>
      <c r="C12" s="26">
        <v>20.8</v>
      </c>
      <c r="D12" s="47" t="s">
        <v>14</v>
      </c>
      <c r="E12" s="44">
        <v>27388</v>
      </c>
    </row>
    <row r="13" spans="1:64" x14ac:dyDescent="0.2">
      <c r="A13" s="41" t="s">
        <v>15</v>
      </c>
      <c r="B13" s="45">
        <f>SUM(B4:B12)</f>
        <v>66780857</v>
      </c>
      <c r="C13" s="46">
        <v>100</v>
      </c>
      <c r="D13" s="45">
        <f>SUM(D4:D12)</f>
        <v>2467</v>
      </c>
      <c r="E13" s="45">
        <v>34968</v>
      </c>
    </row>
    <row r="14" spans="1:64" ht="14.65" customHeight="1" x14ac:dyDescent="0.2">
      <c r="A14" s="51" t="s">
        <v>16</v>
      </c>
      <c r="B14" s="51"/>
      <c r="C14" s="51"/>
      <c r="D14" s="51"/>
      <c r="E14" s="51"/>
    </row>
    <row r="15" spans="1:64" ht="25.35" customHeight="1" x14ac:dyDescent="0.2">
      <c r="A15" s="52" t="s">
        <v>144</v>
      </c>
      <c r="B15" s="52"/>
      <c r="C15" s="52"/>
      <c r="D15" s="52"/>
      <c r="E15" s="52"/>
    </row>
    <row r="16" spans="1:64" x14ac:dyDescent="0.2">
      <c r="A16" s="4" t="s">
        <v>147</v>
      </c>
      <c r="C16" s="5"/>
      <c r="D16" s="5"/>
    </row>
    <row r="17" spans="1:5" ht="14.65" customHeight="1" x14ac:dyDescent="0.2">
      <c r="A17" s="53" t="s">
        <v>17</v>
      </c>
      <c r="B17" s="53"/>
      <c r="C17" s="53"/>
      <c r="D17" s="53"/>
      <c r="E17" s="53"/>
    </row>
  </sheetData>
  <mergeCells count="3">
    <mergeCell ref="A14:E14"/>
    <mergeCell ref="A15:E15"/>
    <mergeCell ref="A17:E17"/>
  </mergeCells>
  <pageMargins left="0.78749999999999998" right="0.78749999999999998" top="1.0249999999999999" bottom="1.0249999999999999" header="0.78749999999999998" footer="0.78749999999999998"/>
  <pageSetup paperSize="9" firstPageNumber="0" orientation="landscape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6"/>
  <sheetViews>
    <sheetView zoomScaleNormal="100" workbookViewId="0"/>
  </sheetViews>
  <sheetFormatPr baseColWidth="10" defaultColWidth="11.5703125" defaultRowHeight="12.75" x14ac:dyDescent="0.2"/>
  <cols>
    <col min="1" max="1" width="5.7109375" customWidth="1"/>
    <col min="2" max="2" width="22.85546875" style="8" bestFit="1" customWidth="1"/>
    <col min="3" max="3" width="16.140625" style="6" customWidth="1"/>
    <col min="11" max="11" width="15" customWidth="1"/>
  </cols>
  <sheetData>
    <row r="1" spans="1:16" x14ac:dyDescent="0.2">
      <c r="A1" s="7" t="s">
        <v>18</v>
      </c>
      <c r="B1" s="7"/>
      <c r="D1" s="8"/>
    </row>
    <row r="2" spans="1:16" x14ac:dyDescent="0.2">
      <c r="C2" s="50" t="s">
        <v>249</v>
      </c>
    </row>
    <row r="3" spans="1:16" x14ac:dyDescent="0.2">
      <c r="A3" s="28" t="s">
        <v>19</v>
      </c>
      <c r="B3" s="33" t="s">
        <v>148</v>
      </c>
      <c r="C3" s="25">
        <v>67</v>
      </c>
      <c r="F3" s="8"/>
      <c r="G3" s="8"/>
      <c r="J3" s="14"/>
      <c r="K3" s="14"/>
      <c r="L3" s="14"/>
      <c r="M3" s="14"/>
      <c r="N3" s="14"/>
      <c r="O3" s="14"/>
      <c r="P3" s="14"/>
    </row>
    <row r="4" spans="1:16" x14ac:dyDescent="0.2">
      <c r="A4" s="29" t="s">
        <v>20</v>
      </c>
      <c r="B4" s="30" t="s">
        <v>149</v>
      </c>
      <c r="C4" s="26">
        <v>53.2</v>
      </c>
      <c r="J4" s="14"/>
      <c r="K4" s="14"/>
      <c r="L4" s="14"/>
      <c r="M4" s="14"/>
      <c r="N4" s="14"/>
      <c r="O4" s="14"/>
      <c r="P4" s="14"/>
    </row>
    <row r="5" spans="1:16" x14ac:dyDescent="0.2">
      <c r="A5" s="29" t="s">
        <v>21</v>
      </c>
      <c r="B5" s="30" t="s">
        <v>150</v>
      </c>
      <c r="C5" s="26">
        <v>58.3</v>
      </c>
      <c r="J5" s="14"/>
      <c r="K5" s="14"/>
      <c r="L5" s="15"/>
      <c r="M5" s="15"/>
      <c r="N5" s="15"/>
      <c r="O5" s="15"/>
      <c r="P5" s="15"/>
    </row>
    <row r="6" spans="1:16" x14ac:dyDescent="0.2">
      <c r="A6" s="29" t="s">
        <v>22</v>
      </c>
      <c r="B6" s="30" t="s">
        <v>151</v>
      </c>
      <c r="C6" s="26">
        <v>61.9</v>
      </c>
      <c r="J6" s="14"/>
      <c r="K6" s="14"/>
      <c r="L6" s="15"/>
      <c r="M6" s="15"/>
      <c r="N6" s="15"/>
      <c r="O6" s="15"/>
      <c r="P6" s="15"/>
    </row>
    <row r="7" spans="1:16" x14ac:dyDescent="0.2">
      <c r="A7" s="29" t="s">
        <v>23</v>
      </c>
      <c r="B7" s="30" t="s">
        <v>152</v>
      </c>
      <c r="C7" s="26">
        <v>59.5</v>
      </c>
      <c r="J7" s="14"/>
      <c r="K7" s="14"/>
      <c r="L7" s="15"/>
      <c r="M7" s="15"/>
      <c r="N7" s="15"/>
      <c r="O7" s="15"/>
      <c r="P7" s="15"/>
    </row>
    <row r="8" spans="1:16" x14ac:dyDescent="0.2">
      <c r="A8" s="29" t="s">
        <v>24</v>
      </c>
      <c r="B8" s="30" t="s">
        <v>153</v>
      </c>
      <c r="C8" s="26">
        <v>95.9</v>
      </c>
      <c r="J8" s="14"/>
      <c r="K8" s="14"/>
      <c r="L8" s="15"/>
      <c r="M8" s="15"/>
      <c r="N8" s="15"/>
      <c r="O8" s="15"/>
      <c r="P8" s="15"/>
    </row>
    <row r="9" spans="1:16" x14ac:dyDescent="0.2">
      <c r="A9" s="29" t="s">
        <v>25</v>
      </c>
      <c r="B9" s="30" t="s">
        <v>154</v>
      </c>
      <c r="C9" s="26">
        <v>63.3</v>
      </c>
      <c r="J9" s="14"/>
      <c r="K9" s="14"/>
      <c r="L9" s="15"/>
      <c r="M9" s="15"/>
      <c r="N9" s="15"/>
      <c r="O9" s="15"/>
      <c r="P9" s="15"/>
    </row>
    <row r="10" spans="1:16" x14ac:dyDescent="0.2">
      <c r="A10" s="29" t="s">
        <v>26</v>
      </c>
      <c r="B10" s="30" t="s">
        <v>155</v>
      </c>
      <c r="C10" s="26">
        <v>57.3</v>
      </c>
      <c r="J10" s="14"/>
      <c r="K10" s="14"/>
      <c r="L10" s="15"/>
      <c r="M10" s="15"/>
      <c r="N10" s="15"/>
      <c r="O10" s="15"/>
      <c r="P10" s="15"/>
    </row>
    <row r="11" spans="1:16" x14ac:dyDescent="0.2">
      <c r="A11" s="29" t="s">
        <v>27</v>
      </c>
      <c r="B11" s="30" t="s">
        <v>156</v>
      </c>
      <c r="C11" s="26">
        <v>55.5</v>
      </c>
      <c r="J11" s="14"/>
      <c r="K11" s="14"/>
      <c r="L11" s="15"/>
      <c r="M11" s="15"/>
      <c r="N11" s="15"/>
      <c r="O11" s="15"/>
      <c r="P11" s="15"/>
    </row>
    <row r="12" spans="1:16" x14ac:dyDescent="0.2">
      <c r="A12" s="29" t="s">
        <v>28</v>
      </c>
      <c r="B12" s="30" t="s">
        <v>157</v>
      </c>
      <c r="C12" s="26">
        <v>61.3</v>
      </c>
      <c r="J12" s="14"/>
      <c r="K12" s="14"/>
      <c r="L12" s="15"/>
      <c r="M12" s="15"/>
      <c r="N12" s="15"/>
      <c r="O12" s="15"/>
      <c r="P12" s="15"/>
    </row>
    <row r="13" spans="1:16" x14ac:dyDescent="0.2">
      <c r="A13" s="29" t="s">
        <v>29</v>
      </c>
      <c r="B13" s="30" t="s">
        <v>158</v>
      </c>
      <c r="C13" s="26">
        <v>61.6</v>
      </c>
      <c r="J13" s="14"/>
      <c r="K13" s="14"/>
      <c r="L13" s="15"/>
      <c r="M13" s="15"/>
      <c r="N13" s="15"/>
      <c r="O13" s="15"/>
      <c r="P13" s="15"/>
    </row>
    <row r="14" spans="1:16" x14ac:dyDescent="0.2">
      <c r="A14" s="29" t="s">
        <v>30</v>
      </c>
      <c r="B14" s="30" t="s">
        <v>159</v>
      </c>
      <c r="C14" s="26">
        <v>47.7</v>
      </c>
      <c r="J14" s="14"/>
      <c r="K14" s="14"/>
      <c r="L14" s="15"/>
      <c r="M14" s="15"/>
      <c r="N14" s="15"/>
      <c r="O14" s="15"/>
      <c r="P14" s="15"/>
    </row>
    <row r="15" spans="1:16" x14ac:dyDescent="0.2">
      <c r="A15" s="29" t="s">
        <v>31</v>
      </c>
      <c r="B15" s="30" t="s">
        <v>160</v>
      </c>
      <c r="C15" s="26">
        <v>99.3</v>
      </c>
      <c r="J15" s="14"/>
      <c r="K15" s="14"/>
      <c r="L15" s="14"/>
      <c r="M15" s="14"/>
      <c r="N15" s="14"/>
      <c r="O15" s="14"/>
      <c r="P15" s="14"/>
    </row>
    <row r="16" spans="1:16" x14ac:dyDescent="0.2">
      <c r="A16" s="29" t="s">
        <v>32</v>
      </c>
      <c r="B16" s="30" t="s">
        <v>161</v>
      </c>
      <c r="C16" s="26">
        <v>68.900000000000006</v>
      </c>
    </row>
    <row r="17" spans="1:3" x14ac:dyDescent="0.2">
      <c r="A17" s="29" t="s">
        <v>33</v>
      </c>
      <c r="B17" s="30" t="s">
        <v>162</v>
      </c>
      <c r="C17" s="26">
        <v>35.299999999999997</v>
      </c>
    </row>
    <row r="18" spans="1:3" x14ac:dyDescent="0.2">
      <c r="A18" s="29" t="s">
        <v>34</v>
      </c>
      <c r="B18" s="30" t="s">
        <v>163</v>
      </c>
      <c r="C18" s="26">
        <v>46.7</v>
      </c>
    </row>
    <row r="19" spans="1:3" x14ac:dyDescent="0.2">
      <c r="A19" s="29" t="s">
        <v>35</v>
      </c>
      <c r="B19" s="30" t="s">
        <v>164</v>
      </c>
      <c r="C19" s="26">
        <v>60.9</v>
      </c>
    </row>
    <row r="20" spans="1:3" x14ac:dyDescent="0.2">
      <c r="A20" s="29" t="s">
        <v>36</v>
      </c>
      <c r="B20" s="30" t="s">
        <v>165</v>
      </c>
      <c r="C20" s="26">
        <v>55.3</v>
      </c>
    </row>
    <row r="21" spans="1:3" x14ac:dyDescent="0.2">
      <c r="A21" s="29" t="s">
        <v>37</v>
      </c>
      <c r="B21" s="30" t="s">
        <v>166</v>
      </c>
      <c r="C21" s="26">
        <v>55.6</v>
      </c>
    </row>
    <row r="22" spans="1:3" s="8" customFormat="1" x14ac:dyDescent="0.2">
      <c r="A22" s="30" t="s">
        <v>47</v>
      </c>
      <c r="B22" s="30" t="s">
        <v>176</v>
      </c>
      <c r="C22" s="26">
        <v>73.5</v>
      </c>
    </row>
    <row r="23" spans="1:3" s="8" customFormat="1" x14ac:dyDescent="0.2">
      <c r="A23" s="30" t="s">
        <v>48</v>
      </c>
      <c r="B23" s="30" t="s">
        <v>177</v>
      </c>
      <c r="C23" s="26">
        <v>70.2</v>
      </c>
    </row>
    <row r="24" spans="1:3" x14ac:dyDescent="0.2">
      <c r="A24" s="29" t="s">
        <v>38</v>
      </c>
      <c r="B24" s="30" t="s">
        <v>167</v>
      </c>
      <c r="C24" s="26">
        <v>62.9</v>
      </c>
    </row>
    <row r="25" spans="1:3" x14ac:dyDescent="0.2">
      <c r="A25" s="29" t="s">
        <v>39</v>
      </c>
      <c r="B25" s="30" t="s">
        <v>168</v>
      </c>
      <c r="C25" s="26">
        <v>60.8</v>
      </c>
    </row>
    <row r="26" spans="1:3" x14ac:dyDescent="0.2">
      <c r="A26" s="29" t="s">
        <v>40</v>
      </c>
      <c r="B26" s="30" t="s">
        <v>169</v>
      </c>
      <c r="C26" s="26">
        <v>21.4</v>
      </c>
    </row>
    <row r="27" spans="1:3" x14ac:dyDescent="0.2">
      <c r="A27" s="29" t="s">
        <v>41</v>
      </c>
      <c r="B27" s="30" t="s">
        <v>170</v>
      </c>
      <c r="C27" s="26">
        <v>49</v>
      </c>
    </row>
    <row r="28" spans="1:3" x14ac:dyDescent="0.2">
      <c r="A28" s="29" t="s">
        <v>42</v>
      </c>
      <c r="B28" s="30" t="s">
        <v>171</v>
      </c>
      <c r="C28" s="26">
        <v>65.400000000000006</v>
      </c>
    </row>
    <row r="29" spans="1:3" x14ac:dyDescent="0.2">
      <c r="A29" s="29" t="s">
        <v>43</v>
      </c>
      <c r="B29" s="30" t="s">
        <v>172</v>
      </c>
      <c r="C29" s="26">
        <v>71.3</v>
      </c>
    </row>
    <row r="30" spans="1:3" x14ac:dyDescent="0.2">
      <c r="A30" s="29" t="s">
        <v>44</v>
      </c>
      <c r="B30" s="30" t="s">
        <v>173</v>
      </c>
      <c r="C30" s="26">
        <v>55.9</v>
      </c>
    </row>
    <row r="31" spans="1:3" x14ac:dyDescent="0.2">
      <c r="A31" s="29" t="s">
        <v>45</v>
      </c>
      <c r="B31" s="30" t="s">
        <v>174</v>
      </c>
      <c r="C31" s="26">
        <v>61.4</v>
      </c>
    </row>
    <row r="32" spans="1:3" x14ac:dyDescent="0.2">
      <c r="A32" s="29" t="s">
        <v>46</v>
      </c>
      <c r="B32" s="30" t="s">
        <v>175</v>
      </c>
      <c r="C32" s="26">
        <v>77.900000000000006</v>
      </c>
    </row>
    <row r="33" spans="1:3" x14ac:dyDescent="0.2">
      <c r="A33" s="29" t="s">
        <v>49</v>
      </c>
      <c r="B33" s="30" t="s">
        <v>178</v>
      </c>
      <c r="C33" s="26">
        <v>82.1</v>
      </c>
    </row>
    <row r="34" spans="1:3" x14ac:dyDescent="0.2">
      <c r="A34" s="29" t="s">
        <v>50</v>
      </c>
      <c r="B34" s="30" t="s">
        <v>179</v>
      </c>
      <c r="C34" s="26">
        <v>86.8</v>
      </c>
    </row>
    <row r="35" spans="1:3" x14ac:dyDescent="0.2">
      <c r="A35" s="29" t="s">
        <v>51</v>
      </c>
      <c r="B35" s="30" t="s">
        <v>180</v>
      </c>
      <c r="C35" s="26">
        <v>36.1</v>
      </c>
    </row>
    <row r="36" spans="1:3" x14ac:dyDescent="0.2">
      <c r="A36" s="29" t="s">
        <v>52</v>
      </c>
      <c r="B36" s="30" t="s">
        <v>181</v>
      </c>
      <c r="C36" s="26">
        <v>86.7</v>
      </c>
    </row>
    <row r="37" spans="1:3" x14ac:dyDescent="0.2">
      <c r="A37" s="29" t="s">
        <v>53</v>
      </c>
      <c r="B37" s="30" t="s">
        <v>182</v>
      </c>
      <c r="C37" s="26">
        <v>89.1</v>
      </c>
    </row>
    <row r="38" spans="1:3" x14ac:dyDescent="0.2">
      <c r="A38" s="29" t="s">
        <v>54</v>
      </c>
      <c r="B38" s="30" t="s">
        <v>183</v>
      </c>
      <c r="C38" s="26">
        <v>73.3</v>
      </c>
    </row>
    <row r="39" spans="1:3" x14ac:dyDescent="0.2">
      <c r="A39" s="29" t="s">
        <v>55</v>
      </c>
      <c r="B39" s="30" t="s">
        <v>184</v>
      </c>
      <c r="C39" s="26">
        <v>54.9</v>
      </c>
    </row>
    <row r="40" spans="1:3" x14ac:dyDescent="0.2">
      <c r="A40" s="29" t="s">
        <v>56</v>
      </c>
      <c r="B40" s="30" t="s">
        <v>185</v>
      </c>
      <c r="C40" s="26">
        <v>76.8</v>
      </c>
    </row>
    <row r="41" spans="1:3" x14ac:dyDescent="0.2">
      <c r="A41" s="29" t="s">
        <v>57</v>
      </c>
      <c r="B41" s="30" t="s">
        <v>186</v>
      </c>
      <c r="C41" s="26">
        <v>81.2</v>
      </c>
    </row>
    <row r="42" spans="1:3" x14ac:dyDescent="0.2">
      <c r="A42" s="29" t="s">
        <v>58</v>
      </c>
      <c r="B42" s="30" t="s">
        <v>187</v>
      </c>
      <c r="C42" s="26">
        <v>46.7</v>
      </c>
    </row>
    <row r="43" spans="1:3" ht="14.65" customHeight="1" x14ac:dyDescent="0.2">
      <c r="A43" s="29" t="s">
        <v>60</v>
      </c>
      <c r="B43" s="30" t="s">
        <v>188</v>
      </c>
      <c r="C43" s="26">
        <v>62.9</v>
      </c>
    </row>
    <row r="44" spans="1:3" x14ac:dyDescent="0.2">
      <c r="A44" s="29" t="s">
        <v>61</v>
      </c>
      <c r="B44" s="30" t="s">
        <v>189</v>
      </c>
      <c r="C44" s="26">
        <v>57.5</v>
      </c>
    </row>
    <row r="45" spans="1:3" x14ac:dyDescent="0.2">
      <c r="A45" s="29" t="s">
        <v>62</v>
      </c>
      <c r="B45" s="30" t="s">
        <v>190</v>
      </c>
      <c r="C45" s="26">
        <v>80.2</v>
      </c>
    </row>
    <row r="46" spans="1:3" x14ac:dyDescent="0.2">
      <c r="A46" s="29" t="s">
        <v>63</v>
      </c>
      <c r="B46" s="30" t="s">
        <v>191</v>
      </c>
      <c r="C46" s="26">
        <v>49.2</v>
      </c>
    </row>
    <row r="47" spans="1:3" x14ac:dyDescent="0.2">
      <c r="A47" s="29" t="s">
        <v>64</v>
      </c>
      <c r="B47" s="30" t="s">
        <v>192</v>
      </c>
      <c r="C47" s="26">
        <v>84.6</v>
      </c>
    </row>
    <row r="48" spans="1:3" x14ac:dyDescent="0.2">
      <c r="A48" s="29" t="s">
        <v>65</v>
      </c>
      <c r="B48" s="30" t="s">
        <v>193</v>
      </c>
      <c r="C48" s="26">
        <v>74.900000000000006</v>
      </c>
    </row>
    <row r="49" spans="1:3" x14ac:dyDescent="0.2">
      <c r="A49" s="29" t="s">
        <v>66</v>
      </c>
      <c r="B49" s="30" t="s">
        <v>194</v>
      </c>
      <c r="C49" s="26">
        <v>39.5</v>
      </c>
    </row>
    <row r="50" spans="1:3" x14ac:dyDescent="0.2">
      <c r="A50" s="29" t="s">
        <v>67</v>
      </c>
      <c r="B50" s="30" t="s">
        <v>195</v>
      </c>
      <c r="C50" s="26">
        <v>64.599999999999994</v>
      </c>
    </row>
    <row r="51" spans="1:3" x14ac:dyDescent="0.2">
      <c r="A51" s="29" t="s">
        <v>68</v>
      </c>
      <c r="B51" s="30" t="s">
        <v>196</v>
      </c>
      <c r="C51" s="26">
        <v>37</v>
      </c>
    </row>
    <row r="52" spans="1:3" x14ac:dyDescent="0.2">
      <c r="A52" s="29" t="s">
        <v>69</v>
      </c>
      <c r="B52" s="30" t="s">
        <v>197</v>
      </c>
      <c r="C52" s="26">
        <v>82.9</v>
      </c>
    </row>
    <row r="53" spans="1:3" x14ac:dyDescent="0.2">
      <c r="A53" s="29" t="s">
        <v>70</v>
      </c>
      <c r="B53" s="30" t="s">
        <v>198</v>
      </c>
      <c r="C53" s="26">
        <v>52</v>
      </c>
    </row>
    <row r="54" spans="1:3" x14ac:dyDescent="0.2">
      <c r="A54" s="29" t="s">
        <v>71</v>
      </c>
      <c r="B54" s="30" t="s">
        <v>199</v>
      </c>
      <c r="C54" s="26">
        <v>66.5</v>
      </c>
    </row>
    <row r="55" spans="1:3" x14ac:dyDescent="0.2">
      <c r="A55" s="29" t="s">
        <v>72</v>
      </c>
      <c r="B55" s="30" t="s">
        <v>200</v>
      </c>
      <c r="C55" s="26">
        <v>44.9</v>
      </c>
    </row>
    <row r="56" spans="1:3" x14ac:dyDescent="0.2">
      <c r="A56" s="29" t="s">
        <v>73</v>
      </c>
      <c r="B56" s="30" t="s">
        <v>201</v>
      </c>
      <c r="C56" s="26">
        <v>51</v>
      </c>
    </row>
    <row r="57" spans="1:3" x14ac:dyDescent="0.2">
      <c r="A57" s="29" t="s">
        <v>74</v>
      </c>
      <c r="B57" s="30" t="s">
        <v>202</v>
      </c>
      <c r="C57" s="26">
        <v>76.8</v>
      </c>
    </row>
    <row r="58" spans="1:3" x14ac:dyDescent="0.2">
      <c r="A58" s="29" t="s">
        <v>75</v>
      </c>
      <c r="B58" s="30" t="s">
        <v>203</v>
      </c>
      <c r="C58" s="26">
        <v>41.2</v>
      </c>
    </row>
    <row r="59" spans="1:3" x14ac:dyDescent="0.2">
      <c r="A59" s="29" t="s">
        <v>76</v>
      </c>
      <c r="B59" s="30" t="s">
        <v>204</v>
      </c>
      <c r="C59" s="26">
        <v>68.400000000000006</v>
      </c>
    </row>
    <row r="60" spans="1:3" x14ac:dyDescent="0.2">
      <c r="A60" s="29" t="s">
        <v>77</v>
      </c>
      <c r="B60" s="30" t="s">
        <v>205</v>
      </c>
      <c r="C60" s="26">
        <v>75.099999999999994</v>
      </c>
    </row>
    <row r="61" spans="1:3" x14ac:dyDescent="0.2">
      <c r="A61" s="29" t="s">
        <v>78</v>
      </c>
      <c r="B61" s="30" t="s">
        <v>206</v>
      </c>
      <c r="C61" s="26">
        <v>48.5</v>
      </c>
    </row>
    <row r="62" spans="1:3" x14ac:dyDescent="0.2">
      <c r="A62" s="29" t="s">
        <v>79</v>
      </c>
      <c r="B62" s="30" t="s">
        <v>207</v>
      </c>
      <c r="C62" s="26">
        <v>91.5</v>
      </c>
    </row>
    <row r="63" spans="1:3" x14ac:dyDescent="0.2">
      <c r="A63" s="29" t="s">
        <v>80</v>
      </c>
      <c r="B63" s="30" t="s">
        <v>208</v>
      </c>
      <c r="C63" s="26">
        <v>66.400000000000006</v>
      </c>
    </row>
    <row r="64" spans="1:3" x14ac:dyDescent="0.2">
      <c r="A64" s="29" t="s">
        <v>81</v>
      </c>
      <c r="B64" s="30" t="s">
        <v>209</v>
      </c>
      <c r="C64" s="26">
        <v>41.8</v>
      </c>
    </row>
    <row r="65" spans="1:3" x14ac:dyDescent="0.2">
      <c r="A65" s="29" t="s">
        <v>82</v>
      </c>
      <c r="B65" s="30" t="s">
        <v>210</v>
      </c>
      <c r="C65" s="26">
        <v>82.1</v>
      </c>
    </row>
    <row r="66" spans="1:3" x14ac:dyDescent="0.2">
      <c r="A66" s="29" t="s">
        <v>83</v>
      </c>
      <c r="B66" s="30" t="s">
        <v>211</v>
      </c>
      <c r="C66" s="26">
        <v>68.8</v>
      </c>
    </row>
    <row r="67" spans="1:3" x14ac:dyDescent="0.2">
      <c r="A67" s="29" t="s">
        <v>84</v>
      </c>
      <c r="B67" s="30" t="s">
        <v>212</v>
      </c>
      <c r="C67" s="26">
        <v>78.400000000000006</v>
      </c>
    </row>
    <row r="68" spans="1:3" x14ac:dyDescent="0.2">
      <c r="A68" s="29" t="s">
        <v>85</v>
      </c>
      <c r="B68" s="30" t="s">
        <v>213</v>
      </c>
      <c r="C68" s="26">
        <v>62.2</v>
      </c>
    </row>
    <row r="69" spans="1:3" x14ac:dyDescent="0.2">
      <c r="A69" s="29" t="s">
        <v>86</v>
      </c>
      <c r="B69" s="30" t="s">
        <v>214</v>
      </c>
      <c r="C69" s="26">
        <v>87.5</v>
      </c>
    </row>
    <row r="70" spans="1:3" x14ac:dyDescent="0.2">
      <c r="A70" s="29" t="s">
        <v>87</v>
      </c>
      <c r="B70" s="30" t="s">
        <v>215</v>
      </c>
      <c r="C70" s="26">
        <v>80</v>
      </c>
    </row>
    <row r="71" spans="1:3" x14ac:dyDescent="0.2">
      <c r="A71" s="29" t="s">
        <v>88</v>
      </c>
      <c r="B71" s="30" t="s">
        <v>216</v>
      </c>
      <c r="C71" s="26">
        <v>78.900000000000006</v>
      </c>
    </row>
    <row r="72" spans="1:3" x14ac:dyDescent="0.2">
      <c r="A72" s="29" t="s">
        <v>89</v>
      </c>
      <c r="B72" s="30" t="s">
        <v>217</v>
      </c>
      <c r="C72" s="26">
        <v>94.6</v>
      </c>
    </row>
    <row r="73" spans="1:3" x14ac:dyDescent="0.2">
      <c r="A73" s="29" t="s">
        <v>90</v>
      </c>
      <c r="B73" s="30" t="s">
        <v>218</v>
      </c>
      <c r="C73" s="26">
        <v>42.6</v>
      </c>
    </row>
    <row r="74" spans="1:3" x14ac:dyDescent="0.2">
      <c r="A74" s="29" t="s">
        <v>91</v>
      </c>
      <c r="B74" s="30" t="s">
        <v>219</v>
      </c>
      <c r="C74" s="26">
        <v>59.2</v>
      </c>
    </row>
    <row r="75" spans="1:3" x14ac:dyDescent="0.2">
      <c r="A75" s="29" t="s">
        <v>92</v>
      </c>
      <c r="B75" s="30" t="s">
        <v>220</v>
      </c>
      <c r="C75" s="26">
        <v>64.8</v>
      </c>
    </row>
    <row r="76" spans="1:3" x14ac:dyDescent="0.2">
      <c r="A76" s="29" t="s">
        <v>93</v>
      </c>
      <c r="B76" s="30" t="s">
        <v>221</v>
      </c>
      <c r="C76" s="26">
        <v>77.2</v>
      </c>
    </row>
    <row r="77" spans="1:3" x14ac:dyDescent="0.2">
      <c r="A77" s="29" t="s">
        <v>94</v>
      </c>
      <c r="B77" s="30" t="s">
        <v>222</v>
      </c>
      <c r="C77" s="26">
        <v>86.4</v>
      </c>
    </row>
    <row r="78" spans="1:3" x14ac:dyDescent="0.2">
      <c r="A78" s="29" t="s">
        <v>95</v>
      </c>
      <c r="B78" s="30" t="s">
        <v>223</v>
      </c>
      <c r="C78" s="26">
        <v>100</v>
      </c>
    </row>
    <row r="79" spans="1:3" x14ac:dyDescent="0.2">
      <c r="A79" s="29" t="s">
        <v>96</v>
      </c>
      <c r="B79" s="30" t="s">
        <v>224</v>
      </c>
      <c r="C79" s="26">
        <v>76.599999999999994</v>
      </c>
    </row>
    <row r="80" spans="1:3" x14ac:dyDescent="0.2">
      <c r="A80" s="29" t="s">
        <v>97</v>
      </c>
      <c r="B80" s="30" t="s">
        <v>225</v>
      </c>
      <c r="C80" s="26">
        <v>83.7</v>
      </c>
    </row>
    <row r="81" spans="1:3" x14ac:dyDescent="0.2">
      <c r="A81" s="29" t="s">
        <v>98</v>
      </c>
      <c r="B81" s="30" t="s">
        <v>226</v>
      </c>
      <c r="C81" s="26">
        <v>93</v>
      </c>
    </row>
    <row r="82" spans="1:3" x14ac:dyDescent="0.2">
      <c r="A82" s="29" t="s">
        <v>99</v>
      </c>
      <c r="B82" s="30" t="s">
        <v>227</v>
      </c>
      <c r="C82" s="26">
        <v>55.2</v>
      </c>
    </row>
    <row r="83" spans="1:3" x14ac:dyDescent="0.2">
      <c r="A83" s="29" t="s">
        <v>100</v>
      </c>
      <c r="B83" s="30" t="s">
        <v>228</v>
      </c>
      <c r="C83" s="26">
        <v>56.8</v>
      </c>
    </row>
    <row r="84" spans="1:3" x14ac:dyDescent="0.2">
      <c r="A84" s="29" t="s">
        <v>101</v>
      </c>
      <c r="B84" s="30" t="s">
        <v>229</v>
      </c>
      <c r="C84" s="26">
        <v>67.400000000000006</v>
      </c>
    </row>
    <row r="85" spans="1:3" x14ac:dyDescent="0.2">
      <c r="A85" s="29" t="s">
        <v>102</v>
      </c>
      <c r="B85" s="30" t="s">
        <v>230</v>
      </c>
      <c r="C85" s="26">
        <v>69.400000000000006</v>
      </c>
    </row>
    <row r="86" spans="1:3" x14ac:dyDescent="0.2">
      <c r="A86" s="29" t="s">
        <v>103</v>
      </c>
      <c r="B86" s="30" t="s">
        <v>231</v>
      </c>
      <c r="C86" s="26">
        <v>95.5</v>
      </c>
    </row>
    <row r="87" spans="1:3" x14ac:dyDescent="0.2">
      <c r="A87" s="29" t="s">
        <v>104</v>
      </c>
      <c r="B87" s="30" t="s">
        <v>232</v>
      </c>
      <c r="C87" s="26">
        <v>91</v>
      </c>
    </row>
    <row r="88" spans="1:3" x14ac:dyDescent="0.2">
      <c r="A88" s="29" t="s">
        <v>105</v>
      </c>
      <c r="B88" s="30" t="s">
        <v>233</v>
      </c>
      <c r="C88" s="26">
        <v>67.7</v>
      </c>
    </row>
    <row r="89" spans="1:3" x14ac:dyDescent="0.2">
      <c r="A89" s="29" t="s">
        <v>106</v>
      </c>
      <c r="B89" s="30" t="s">
        <v>234</v>
      </c>
      <c r="C89" s="26">
        <v>60.3</v>
      </c>
    </row>
    <row r="90" spans="1:3" x14ac:dyDescent="0.2">
      <c r="A90" s="29" t="s">
        <v>107</v>
      </c>
      <c r="B90" s="30" t="s">
        <v>235</v>
      </c>
      <c r="C90" s="26">
        <v>64.599999999999994</v>
      </c>
    </row>
    <row r="91" spans="1:3" x14ac:dyDescent="0.2">
      <c r="A91" s="29" t="s">
        <v>108</v>
      </c>
      <c r="B91" s="30" t="s">
        <v>236</v>
      </c>
      <c r="C91" s="26">
        <v>68.900000000000006</v>
      </c>
    </row>
    <row r="92" spans="1:3" x14ac:dyDescent="0.2">
      <c r="A92" s="29" t="s">
        <v>109</v>
      </c>
      <c r="B92" s="30" t="s">
        <v>237</v>
      </c>
      <c r="C92" s="26">
        <v>43.1</v>
      </c>
    </row>
    <row r="93" spans="1:3" x14ac:dyDescent="0.2">
      <c r="A93" s="29" t="s">
        <v>110</v>
      </c>
      <c r="B93" s="30" t="s">
        <v>238</v>
      </c>
      <c r="C93" s="26">
        <v>81.400000000000006</v>
      </c>
    </row>
    <row r="94" spans="1:3" x14ac:dyDescent="0.2">
      <c r="A94" s="29" t="s">
        <v>111</v>
      </c>
      <c r="B94" s="30" t="s">
        <v>239</v>
      </c>
      <c r="C94" s="26">
        <v>96.1</v>
      </c>
    </row>
    <row r="95" spans="1:3" x14ac:dyDescent="0.2">
      <c r="A95" s="29" t="s">
        <v>112</v>
      </c>
      <c r="B95" s="30" t="s">
        <v>240</v>
      </c>
      <c r="C95" s="26">
        <v>100</v>
      </c>
    </row>
    <row r="96" spans="1:3" x14ac:dyDescent="0.2">
      <c r="A96" s="29" t="s">
        <v>113</v>
      </c>
      <c r="B96" s="30" t="s">
        <v>241</v>
      </c>
      <c r="C96" s="26">
        <v>100</v>
      </c>
    </row>
    <row r="97" spans="1:3" x14ac:dyDescent="0.2">
      <c r="A97" s="29" t="s">
        <v>114</v>
      </c>
      <c r="B97" s="30" t="s">
        <v>242</v>
      </c>
      <c r="C97" s="26">
        <v>100</v>
      </c>
    </row>
    <row r="98" spans="1:3" x14ac:dyDescent="0.2">
      <c r="A98" s="29" t="s">
        <v>115</v>
      </c>
      <c r="B98" s="30" t="s">
        <v>243</v>
      </c>
      <c r="C98" s="26">
        <v>96</v>
      </c>
    </row>
    <row r="99" spans="1:3" x14ac:dyDescent="0.2">
      <c r="A99" s="29" t="s">
        <v>116</v>
      </c>
      <c r="B99" s="30" t="s">
        <v>244</v>
      </c>
      <c r="C99" s="26">
        <v>96.4</v>
      </c>
    </row>
    <row r="100" spans="1:3" x14ac:dyDescent="0.2">
      <c r="A100" s="29" t="s">
        <v>117</v>
      </c>
      <c r="B100" s="30" t="s">
        <v>245</v>
      </c>
      <c r="C100" s="26">
        <v>96.6</v>
      </c>
    </row>
    <row r="101" spans="1:3" x14ac:dyDescent="0.2">
      <c r="A101" s="29" t="s">
        <v>118</v>
      </c>
      <c r="B101" s="30" t="s">
        <v>246</v>
      </c>
      <c r="C101" s="26">
        <v>86.3</v>
      </c>
    </row>
    <row r="102" spans="1:3" x14ac:dyDescent="0.2">
      <c r="A102" s="29" t="s">
        <v>119</v>
      </c>
      <c r="B102" s="30" t="s">
        <v>247</v>
      </c>
      <c r="C102" s="26">
        <v>98.5</v>
      </c>
    </row>
    <row r="103" spans="1:3" x14ac:dyDescent="0.2">
      <c r="A103" s="31" t="s">
        <v>120</v>
      </c>
      <c r="B103" s="49" t="s">
        <v>248</v>
      </c>
      <c r="C103" s="27">
        <v>100</v>
      </c>
    </row>
    <row r="104" spans="1:3" x14ac:dyDescent="0.2">
      <c r="A104" s="9" t="s">
        <v>59</v>
      </c>
      <c r="B104" s="9"/>
      <c r="C104"/>
    </row>
    <row r="105" spans="1:3" ht="14.65" customHeight="1" x14ac:dyDescent="0.2">
      <c r="A105" s="54" t="s">
        <v>147</v>
      </c>
      <c r="B105" s="54"/>
      <c r="C105" s="54"/>
    </row>
    <row r="106" spans="1:3" x14ac:dyDescent="0.2">
      <c r="A106" s="10" t="s">
        <v>17</v>
      </c>
      <c r="B106" s="10"/>
      <c r="C106"/>
    </row>
  </sheetData>
  <mergeCells count="1">
    <mergeCell ref="A105:C105"/>
  </mergeCells>
  <pageMargins left="0.78749999999999998" right="0.78749999999999998" top="1.0249999999999999" bottom="1.0249999999999999" header="0.78749999999999998" footer="0.78749999999999998"/>
  <pageSetup paperSize="9" firstPageNumber="0" orientation="landscape" horizontalDpi="300" verticalDpi="300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zoomScaleNormal="100" workbookViewId="0"/>
  </sheetViews>
  <sheetFormatPr baseColWidth="10" defaultColWidth="11.5703125" defaultRowHeight="12.75" x14ac:dyDescent="0.2"/>
  <cols>
    <col min="1" max="1" width="28" customWidth="1"/>
    <col min="2" max="2" width="13.140625" customWidth="1"/>
  </cols>
  <sheetData>
    <row r="1" spans="1:6" x14ac:dyDescent="0.2">
      <c r="A1" s="48" t="s">
        <v>133</v>
      </c>
      <c r="B1" s="48"/>
      <c r="C1" s="48"/>
      <c r="D1" s="48"/>
      <c r="E1" s="48"/>
      <c r="F1" s="48"/>
    </row>
    <row r="2" spans="1:6" x14ac:dyDescent="0.2">
      <c r="A2" s="7"/>
      <c r="D2" s="11" t="s">
        <v>134</v>
      </c>
    </row>
    <row r="3" spans="1:6" ht="25.5" x14ac:dyDescent="0.2">
      <c r="A3" s="21"/>
      <c r="B3" s="16" t="s">
        <v>135</v>
      </c>
      <c r="C3" s="16" t="s">
        <v>136</v>
      </c>
      <c r="D3" s="17" t="s">
        <v>15</v>
      </c>
    </row>
    <row r="4" spans="1:6" x14ac:dyDescent="0.2">
      <c r="A4" s="22" t="s">
        <v>13</v>
      </c>
      <c r="B4" s="35">
        <v>9.6</v>
      </c>
      <c r="C4" s="35">
        <v>27.9</v>
      </c>
      <c r="D4" s="18">
        <v>100</v>
      </c>
    </row>
    <row r="5" spans="1:6" x14ac:dyDescent="0.2">
      <c r="A5" s="23" t="s">
        <v>137</v>
      </c>
      <c r="B5" s="36">
        <v>10.5</v>
      </c>
      <c r="C5" s="36">
        <v>29</v>
      </c>
      <c r="D5" s="19">
        <v>100</v>
      </c>
    </row>
    <row r="6" spans="1:6" x14ac:dyDescent="0.2">
      <c r="A6" s="23" t="s">
        <v>138</v>
      </c>
      <c r="B6" s="36">
        <v>11</v>
      </c>
      <c r="C6" s="36">
        <v>28.6</v>
      </c>
      <c r="D6" s="19">
        <v>100</v>
      </c>
    </row>
    <row r="7" spans="1:6" x14ac:dyDescent="0.2">
      <c r="A7" s="23" t="s">
        <v>139</v>
      </c>
      <c r="B7" s="36">
        <v>11.6</v>
      </c>
      <c r="C7" s="36">
        <v>29.1</v>
      </c>
      <c r="D7" s="19">
        <v>100</v>
      </c>
    </row>
    <row r="8" spans="1:6" x14ac:dyDescent="0.2">
      <c r="A8" s="23" t="s">
        <v>140</v>
      </c>
      <c r="B8" s="36">
        <v>12.6</v>
      </c>
      <c r="C8" s="36">
        <v>28.7</v>
      </c>
      <c r="D8" s="19">
        <v>100</v>
      </c>
    </row>
    <row r="9" spans="1:6" x14ac:dyDescent="0.2">
      <c r="A9" s="23" t="s">
        <v>141</v>
      </c>
      <c r="B9" s="36">
        <v>13.7</v>
      </c>
      <c r="C9" s="36">
        <v>27.7</v>
      </c>
      <c r="D9" s="19">
        <v>100</v>
      </c>
    </row>
    <row r="10" spans="1:6" x14ac:dyDescent="0.2">
      <c r="A10" s="23" t="s">
        <v>142</v>
      </c>
      <c r="B10" s="36">
        <v>15.9</v>
      </c>
      <c r="C10" s="36">
        <v>24.2</v>
      </c>
      <c r="D10" s="19">
        <v>100</v>
      </c>
    </row>
    <row r="11" spans="1:6" x14ac:dyDescent="0.2">
      <c r="A11" s="23" t="s">
        <v>143</v>
      </c>
      <c r="B11" s="36">
        <v>17.5</v>
      </c>
      <c r="C11" s="36">
        <v>23.9</v>
      </c>
      <c r="D11" s="19">
        <v>100</v>
      </c>
    </row>
    <row r="12" spans="1:6" x14ac:dyDescent="0.2">
      <c r="A12" s="24" t="s">
        <v>5</v>
      </c>
      <c r="B12" s="37">
        <v>16.7</v>
      </c>
      <c r="C12" s="37">
        <v>19.600000000000001</v>
      </c>
      <c r="D12" s="20">
        <v>100</v>
      </c>
    </row>
    <row r="13" spans="1:6" x14ac:dyDescent="0.2">
      <c r="A13" s="9" t="s">
        <v>145</v>
      </c>
    </row>
    <row r="14" spans="1:6" x14ac:dyDescent="0.2">
      <c r="A14" s="13" t="s">
        <v>146</v>
      </c>
    </row>
    <row r="15" spans="1:6" x14ac:dyDescent="0.2">
      <c r="A15" s="12" t="s">
        <v>17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landscape" horizontalDpi="300" verticalDpi="300" r:id="rId1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zoomScaleNormal="100" workbookViewId="0"/>
  </sheetViews>
  <sheetFormatPr baseColWidth="10" defaultColWidth="11.5703125" defaultRowHeight="12.75" x14ac:dyDescent="0.2"/>
  <cols>
    <col min="1" max="1" width="37.85546875" customWidth="1"/>
    <col min="2" max="2" width="16.7109375" customWidth="1"/>
    <col min="3" max="3" width="16.140625" customWidth="1"/>
    <col min="4" max="7" width="15.140625" customWidth="1"/>
  </cols>
  <sheetData>
    <row r="1" spans="1:9" x14ac:dyDescent="0.2">
      <c r="A1" s="7" t="s">
        <v>250</v>
      </c>
      <c r="G1" s="8"/>
      <c r="H1" s="8"/>
      <c r="I1" s="8"/>
    </row>
    <row r="2" spans="1:9" ht="18.2" customHeight="1" x14ac:dyDescent="0.2">
      <c r="A2" s="7"/>
      <c r="B2" s="8"/>
      <c r="C2" s="8"/>
      <c r="D2" s="8"/>
      <c r="E2" s="8"/>
    </row>
    <row r="3" spans="1:9" ht="30.75" customHeight="1" x14ac:dyDescent="0.2">
      <c r="A3" s="21"/>
      <c r="B3" s="32" t="s">
        <v>121</v>
      </c>
      <c r="C3" s="32" t="s">
        <v>122</v>
      </c>
    </row>
    <row r="4" spans="1:9" x14ac:dyDescent="0.2">
      <c r="A4" s="33" t="s">
        <v>123</v>
      </c>
      <c r="B4" s="55">
        <v>37</v>
      </c>
      <c r="C4" s="55"/>
    </row>
    <row r="5" spans="1:9" x14ac:dyDescent="0.2">
      <c r="A5" s="30" t="s">
        <v>124</v>
      </c>
      <c r="B5" s="56"/>
      <c r="C5" s="56">
        <v>236</v>
      </c>
    </row>
    <row r="6" spans="1:9" x14ac:dyDescent="0.2">
      <c r="A6" s="30" t="s">
        <v>125</v>
      </c>
      <c r="B6" s="57">
        <v>1952</v>
      </c>
      <c r="C6" s="57">
        <v>1952</v>
      </c>
    </row>
    <row r="7" spans="1:9" x14ac:dyDescent="0.2">
      <c r="A7" s="30" t="s">
        <v>126</v>
      </c>
      <c r="B7" s="57">
        <v>113</v>
      </c>
      <c r="C7" s="57">
        <v>113</v>
      </c>
    </row>
    <row r="8" spans="1:9" x14ac:dyDescent="0.2">
      <c r="A8" s="30" t="s">
        <v>127</v>
      </c>
      <c r="B8" s="57">
        <v>48</v>
      </c>
      <c r="C8" s="57">
        <v>48</v>
      </c>
    </row>
    <row r="9" spans="1:9" x14ac:dyDescent="0.2">
      <c r="A9" s="30" t="s">
        <v>128</v>
      </c>
      <c r="B9" s="58">
        <v>26</v>
      </c>
      <c r="C9" s="58">
        <v>54</v>
      </c>
    </row>
    <row r="10" spans="1:9" x14ac:dyDescent="0.2">
      <c r="A10" s="30" t="s">
        <v>129</v>
      </c>
      <c r="B10" s="58">
        <v>89</v>
      </c>
      <c r="C10" s="58">
        <v>43</v>
      </c>
    </row>
    <row r="11" spans="1:9" x14ac:dyDescent="0.2">
      <c r="A11" s="30" t="s">
        <v>130</v>
      </c>
      <c r="B11" s="58">
        <v>24</v>
      </c>
      <c r="C11" s="58">
        <v>21</v>
      </c>
    </row>
    <row r="12" spans="1:9" x14ac:dyDescent="0.2">
      <c r="A12" s="34" t="s">
        <v>15</v>
      </c>
      <c r="B12" s="59">
        <f>SUM(B4:B11)</f>
        <v>2289</v>
      </c>
      <c r="C12" s="59">
        <f>SUM(C4:C11)</f>
        <v>2467</v>
      </c>
    </row>
    <row r="13" spans="1:9" x14ac:dyDescent="0.2">
      <c r="A13" s="9" t="s">
        <v>131</v>
      </c>
      <c r="B13" s="9"/>
      <c r="C13" s="9"/>
    </row>
    <row r="14" spans="1:9" x14ac:dyDescent="0.2">
      <c r="A14" t="s">
        <v>147</v>
      </c>
    </row>
    <row r="15" spans="1:9" x14ac:dyDescent="0.2">
      <c r="A15" s="10" t="s">
        <v>132</v>
      </c>
    </row>
  </sheetData>
  <mergeCells count="3">
    <mergeCell ref="B6:C6"/>
    <mergeCell ref="B7:C7"/>
    <mergeCell ref="B8:C8"/>
  </mergeCells>
  <pageMargins left="0.78749999999999998" right="0.78749999999999998" top="1.0249999999999999" bottom="1.0249999999999999" header="0.78749999999999998" footer="0.78749999999999998"/>
  <pageSetup paperSize="9" firstPageNumber="0" orientation="landscape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</vt:i4>
      </vt:variant>
    </vt:vector>
  </HeadingPairs>
  <TitlesOfParts>
    <vt:vector size="7" baseType="lpstr">
      <vt:lpstr>Figure 1</vt:lpstr>
      <vt:lpstr>Figure 2</vt:lpstr>
      <vt:lpstr>Figure 3</vt:lpstr>
      <vt:lpstr>Figure 4</vt:lpstr>
      <vt:lpstr>'Figure 1'!Zone_d_impression</vt:lpstr>
      <vt:lpstr>'Figure 2'!Zone_d_impression</vt:lpstr>
      <vt:lpstr>'Figure 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Vianney Costemalle</dc:creator>
  <dc:description/>
  <cp:lastModifiedBy>Pujol Séverine</cp:lastModifiedBy>
  <cp:revision>234</cp:revision>
  <dcterms:created xsi:type="dcterms:W3CDTF">2020-06-23T10:19:08Z</dcterms:created>
  <dcterms:modified xsi:type="dcterms:W3CDTF">2021-04-25T13:35:48Z</dcterms:modified>
  <dc:language>fr-FR</dc:language>
</cp:coreProperties>
</file>